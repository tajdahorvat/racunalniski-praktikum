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97105\racunalniski-praktikum\10-razpredelnice\"/>
    </mc:Choice>
  </mc:AlternateContent>
  <xr:revisionPtr revIDLastSave="0" documentId="13_ncr:1_{0ADEFA9E-B3CF-4AF1-868D-207403A296BD}" xr6:coauthVersionLast="47" xr6:coauthVersionMax="47" xr10:uidLastSave="{00000000-0000-0000-0000-000000000000}"/>
  <bookViews>
    <workbookView xWindow="4680" yWindow="4680" windowWidth="28800" windowHeight="15345" xr2:uid="{00000000-000D-0000-FFFF-FFFF00000000}"/>
  </bookViews>
  <sheets>
    <sheet name="Rezultati" sheetId="1" r:id="rId1"/>
  </sheets>
  <calcPr calcId="191029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I3" i="1"/>
  <c r="I4" i="1"/>
  <c r="I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<sst xmlns="http://schemas.openxmlformats.org/spreadsheetml/2006/main" count="104" uniqueCount="70">
  <si>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</si>
  <si>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</si>
  <si>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</si>
  <si>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</si>
  <si>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</si>
  <si>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</si>
  <si>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</si>
  <si>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</si>
  <si>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</si>
  <si>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</si>
  <si>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</si>
  <si>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</si>
  <si>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</si>
  <si>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</si>
  <si>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</si>
  <si>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</si>
  <si>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</si>
  <si>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</si>
  <si>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</si>
  <si>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</si>
  <si>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</si>
  <si>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</si>
  <si>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</si>
  <si>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</si>
  <si>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</si>
  <si>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</si>
  <si>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</si>
  <si>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</si>
  <si>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</si>
  <si>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</si>
  <si>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</si>
  <si>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</si>
  <si>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</si>
  <si>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</si>
  <si>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</si>
  <si>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</si>
  <si>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</si>
  <si>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</si>
  <si>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</si>
  <si>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</si>
  <si>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</si>
  <si>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</si>
  <si>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</si>
  <si>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</si>
  <si>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</si>
  <si>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</si>
  <si>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</si>
  <si>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</si>
  <si>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</si>
  <si>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</si>
  <si>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</si>
  <si>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</si>
  <si>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</si>
  <si>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</si>
  <si>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</si>
  <si>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</si>
  <si>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</si>
  <si>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</si>
  <si>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</si>
  <si>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</si>
  <si>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</si>
  <si>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</si>
  <si>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</si>
  <si>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</si>
  <si>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</si>
  <si>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</si>
  <si>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Row Labels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</si>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</sst>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</dxf>
    <dxf>
      <font>
        <color rgb="FF9C0006"/>
      </font>
    </dxf>
    <dxf>
      <font>
        <color rgb="FF9C0006"/>
      </font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 skupin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'Rezultati'!$I$2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2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02C-4F85-98F3-A13A6598A8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C-4F85-98F3-A13A6598A806}"/>
            </c:ext>
          </c:extLst>
        </c:ser>
        <c:ser>
          <c:idx val="1"/>
          <c:order val="1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C-4F85-98F3-A13A6598A806}"/>
            </c:ext>
          </c:extLst>
        </c:ser>
        <c:ser>
          <c:idx val="2"/>
          <c:order val="2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C-4F85-98F3-A13A6598A8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759896948365323"/>
          <c:y val="0.3215014345386894"/>
          <c:w val="0.11396785079284444"/>
          <c:h val="0.384307654999254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Število točk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22263888888888889"/>
          <c:w val="0.78085917879292743"/>
          <c:h val="0.5640583989501312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77-442C-A71E-4B3972E04CA3}"/>
            </c:ext>
          </c:extLst>
        </c:ser>
        <c:ser>
          <c:idx val="2"/>
          <c:order val="2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77-442C-A71E-4B3972E04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51712"/>
        <c:axId val="1573533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'Rezultati'!$I$2</c15:sqref>
                        </c15:formulaRef>
                      </c:ext>
                    </c:extLst>
                    <c:strCache>
                      <c:ptCount val="1"/>
                      <c:pt idx="0">
                        <c:v>Udeležba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'Rezultati'!$H$3:$H$5</c15:sqref>
                        </c15:formulaRef>
                      </c:ext>
                    </c:extLst>
                    <c:strCache>
                      <c:ptCount val="3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'Rezultati'!$I$3:$I$5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</c:v>
                      </c:pt>
                      <c:pt idx="1">
                        <c:v>12</c:v>
                      </c:pt>
                      <c:pt idx="2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77-442C-A71E-4B3972E04CA3}"/>
                  </c:ext>
                </c:extLst>
              </c15:ser>
            </c15:filteredBarSeries>
          </c:ext>
        </c:extLst>
      </c:barChart>
      <c:catAx>
        <c:axId val="157351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57353376"/>
        <c:crosses val="autoZero"/>
        <c:auto val="1"/>
        <c:lblAlgn val="ctr"/>
        <c:lblOffset val="100"/>
        <c:noMultiLvlLbl val="0"/>
      </c:catAx>
      <c:valAx>
        <c:axId val="15735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5735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013001902899203"/>
          <c:y val="0.40819371536891225"/>
          <c:w val="8.4971134983505975E-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10</xdr:row>
      <xdr:rowOff>185737</xdr:rowOff>
    </xdr:from>
    <xdr:to>
      <xdr:col>13</xdr:col>
      <xdr:colOff>28575</xdr:colOff>
      <xdr:row>23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969357-FDB2-487D-9CCE-554FCEBDC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23812</xdr:colOff>
      <xdr:row>24</xdr:row>
      <xdr:rowOff>90487</xdr:rowOff>
    </xdr:from>
    <xdr:to>
      <xdr:col>14</xdr:col>
      <xdr:colOff>409575</xdr:colOff>
      <xdr:row>38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EB4A6E-AC57-44CF-AE3F-C2DB90D9B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rvat, Tajda" refreshedDate="45637.725985532408" createdVersion="7" refreshedVersion="7" minRefreshableVersion="3" recordCount="28" xr:uid="{5FE60532-11E7-4CB7-A691-6FFCE540C909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 count="2">
        <s v="ne"/>
        <s v="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x v="0"/>
  </r>
  <r>
    <s v="Cvelbar"/>
    <s v="Janja"/>
    <x v="0"/>
    <n v="39"/>
    <x v="0"/>
  </r>
  <r>
    <s v="Furlan"/>
    <s v="Aleš"/>
    <x v="0"/>
    <n v="36"/>
    <x v="0"/>
  </r>
  <r>
    <s v="Furlan"/>
    <s v="Luka"/>
    <x v="1"/>
    <n v="93"/>
    <x v="1"/>
  </r>
  <r>
    <s v="Iskra"/>
    <s v="Sabina"/>
    <x v="1"/>
    <n v="77"/>
    <x v="1"/>
  </r>
  <r>
    <s v="Jerman"/>
    <s v="Katja"/>
    <x v="0"/>
    <n v="100"/>
    <x v="1"/>
  </r>
  <r>
    <s v="Karakaš"/>
    <s v="Alenka"/>
    <x v="1"/>
    <n v="94"/>
    <x v="1"/>
  </r>
  <r>
    <s v="Karničar"/>
    <s v="Jaka"/>
    <x v="2"/>
    <n v="26"/>
    <x v="0"/>
  </r>
  <r>
    <s v="Kočar"/>
    <s v="Petra"/>
    <x v="0"/>
    <n v="44"/>
    <x v="0"/>
  </r>
  <r>
    <s v="Kofol"/>
    <s v="Andraž"/>
    <x v="2"/>
    <n v="34"/>
    <x v="0"/>
  </r>
  <r>
    <s v="Korošec"/>
    <s v="Kristina"/>
    <x v="0"/>
    <n v="86"/>
    <x v="1"/>
  </r>
  <r>
    <s v="Kržišnik"/>
    <s v="Grega"/>
    <x v="0"/>
    <n v="90"/>
    <x v="1"/>
  </r>
  <r>
    <s v="Kumar"/>
    <s v="Barbara"/>
    <x v="0"/>
    <n v="67"/>
    <x v="1"/>
  </r>
  <r>
    <s v="Logar"/>
    <s v="Mateja"/>
    <x v="1"/>
    <n v="42"/>
    <x v="0"/>
  </r>
  <r>
    <s v="Obrenović"/>
    <s v="Tatjana"/>
    <x v="2"/>
    <n v="44"/>
    <x v="0"/>
  </r>
  <r>
    <s v="Pance"/>
    <s v="Martin"/>
    <x v="0"/>
    <n v="64"/>
    <x v="1"/>
  </r>
  <r>
    <s v="Pleterski"/>
    <s v="Vesna"/>
    <x v="2"/>
    <n v="30"/>
    <x v="0"/>
  </r>
  <r>
    <s v="Puncer"/>
    <s v="Primož"/>
    <x v="1"/>
    <n v="57"/>
    <x v="1"/>
  </r>
  <r>
    <s v="Ribnikar"/>
    <s v="Matjaž"/>
    <x v="1"/>
    <n v="43"/>
    <x v="0"/>
  </r>
  <r>
    <s v="Smrekar"/>
    <s v="Andreja"/>
    <x v="1"/>
    <n v="38"/>
    <x v="0"/>
  </r>
  <r>
    <s v="Štemberger"/>
    <s v="Igor"/>
    <x v="0"/>
    <n v="85"/>
    <x v="1"/>
  </r>
  <r>
    <s v="Šubašič"/>
    <s v="Matej"/>
    <x v="2"/>
    <n v="76"/>
    <x v="1"/>
  </r>
  <r>
    <s v="Tekavčič"/>
    <s v="Aleksander"/>
    <x v="1"/>
    <n v="34"/>
    <x v="0"/>
  </r>
  <r>
    <s v="Tratnik"/>
    <s v="Mojca"/>
    <x v="0"/>
    <n v="79"/>
    <x v="1"/>
  </r>
  <r>
    <s v="Trček"/>
    <s v="Valerija"/>
    <x v="0"/>
    <n v="70"/>
    <x v="1"/>
  </r>
  <r>
    <s v="Vesel"/>
    <s v="Polona"/>
    <x v="2"/>
    <n v="66"/>
    <x v="1"/>
  </r>
  <r>
    <s v="Virant"/>
    <s v="Primož"/>
    <x v="2"/>
    <n v="58"/>
    <x v="1"/>
  </r>
  <r>
    <s v="Žveglič"/>
    <s v="Katarina"/>
    <x v="1"/>
    <n v="4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3CD1A-DD91-4FD0-A2C7-2B4E2B2BF1D6}" name="PivotTable1" cacheId="3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>
  <location ref="H7:L10" firstHeaderRow="0" firstDataRow="1" firstDataCol="1"/>
  <pivotFields count="5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2" baseItem="0"/>
    <dataField name="Povprečje" fld="3" subtotal="average" baseField="2" baseItem="0"/>
    <dataField name="Maksimum" fld="3" subtotal="max" baseField="2" baseItem="0"/>
    <dataField name="Minimum" fld="3" subtotal="min" baseField="2" baseItem="0"/>
  </dataFields>
  <formats count="1">
    <format dxfId="4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IF(E3&gt;=50,"da","ne")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6">
      <calculatedColumnFormula>COUNTIF(Rezultati[Skupina],Skupine[[#This Row],[Test]])</calculatedColumnFormula>
    </tableColumn>
    <tableColumn id="3" xr3:uid="{49F9352C-9597-4E44-8122-AF1CE6CE856F}" name="2022" dataDxfId="5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E38" sqref="E38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3.140625" bestFit="1" customWidth="1"/>
    <col min="9" max="9" width="9.42578125" bestFit="1" customWidth="1"/>
    <col min="10" max="10" width="9.85546875" bestFit="1" customWidth="1"/>
    <col min="11" max="11" width="10.85546875" bestFit="1" customWidth="1"/>
    <col min="12" max="12" width="9.710937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62</v>
      </c>
      <c r="C3" t="s">
        <v>63</v>
      </c>
      <c r="D3" t="s">
        <v>12</v>
      </c>
      <c r="E3">
        <v>38</v>
      </c>
      <c r="F3" t="str">
        <f>IF(E3&gt;=50,"da","ne")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25">
      <c r="B4" t="s">
        <v>34</v>
      </c>
      <c r="C4" t="s">
        <v>35</v>
      </c>
      <c r="D4" t="s">
        <v>12</v>
      </c>
      <c r="E4">
        <v>39</v>
      </c>
      <c r="F4" t="str">
        <f t="shared" ref="F4:F30" si="0">IF(E4&gt;=50,"da","ne")</f>
        <v>ne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 t="shared" si="0"/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25">
      <c r="B6" t="s">
        <v>7</v>
      </c>
      <c r="C6" t="s">
        <v>8</v>
      </c>
      <c r="D6" t="s">
        <v>9</v>
      </c>
      <c r="E6">
        <v>93</v>
      </c>
      <c r="F6" t="str">
        <f t="shared" si="0"/>
        <v>da</v>
      </c>
    </row>
    <row r="7" spans="2:12" x14ac:dyDescent="0.25">
      <c r="B7" t="s">
        <v>37</v>
      </c>
      <c r="C7" t="s">
        <v>38</v>
      </c>
      <c r="D7" t="s">
        <v>9</v>
      </c>
      <c r="E7">
        <v>77</v>
      </c>
      <c r="F7" t="str">
        <f t="shared" si="0"/>
        <v>da</v>
      </c>
      <c r="H7" s="2" t="s">
        <v>66</v>
      </c>
      <c r="I7" t="s">
        <v>6</v>
      </c>
      <c r="J7" t="s">
        <v>67</v>
      </c>
      <c r="K7" t="s">
        <v>68</v>
      </c>
      <c r="L7" t="s">
        <v>69</v>
      </c>
    </row>
    <row r="8" spans="2:12" x14ac:dyDescent="0.25">
      <c r="B8" t="s">
        <v>39</v>
      </c>
      <c r="C8" t="s">
        <v>40</v>
      </c>
      <c r="D8" t="s">
        <v>12</v>
      </c>
      <c r="E8">
        <v>100</v>
      </c>
      <c r="F8" t="str">
        <f t="shared" si="0"/>
        <v>da</v>
      </c>
      <c r="H8" s="3" t="s">
        <v>9</v>
      </c>
      <c r="I8" s="4">
        <v>9</v>
      </c>
      <c r="J8" s="1">
        <v>58.222222222222221</v>
      </c>
      <c r="K8" s="4">
        <v>94</v>
      </c>
      <c r="L8" s="4">
        <v>34</v>
      </c>
    </row>
    <row r="9" spans="2:12" x14ac:dyDescent="0.25">
      <c r="B9" t="s">
        <v>10</v>
      </c>
      <c r="C9" t="s">
        <v>11</v>
      </c>
      <c r="D9" t="s">
        <v>9</v>
      </c>
      <c r="E9">
        <v>94</v>
      </c>
      <c r="F9" t="str">
        <f t="shared" si="0"/>
        <v>da</v>
      </c>
      <c r="H9" s="3" t="s">
        <v>12</v>
      </c>
      <c r="I9" s="4">
        <v>12</v>
      </c>
      <c r="J9" s="1">
        <v>66.5</v>
      </c>
      <c r="K9" s="4">
        <v>100</v>
      </c>
      <c r="L9" s="4">
        <v>36</v>
      </c>
    </row>
    <row r="10" spans="2:12" x14ac:dyDescent="0.25">
      <c r="B10" t="s">
        <v>41</v>
      </c>
      <c r="C10" t="s">
        <v>42</v>
      </c>
      <c r="D10" t="s">
        <v>15</v>
      </c>
      <c r="E10">
        <v>26</v>
      </c>
      <c r="F10" t="str">
        <f t="shared" si="0"/>
        <v>ne</v>
      </c>
      <c r="H10" s="3" t="s">
        <v>15</v>
      </c>
      <c r="I10" s="4">
        <v>7</v>
      </c>
      <c r="J10" s="1">
        <v>47.714285714285715</v>
      </c>
      <c r="K10" s="4">
        <v>76</v>
      </c>
      <c r="L10" s="4">
        <v>26</v>
      </c>
    </row>
    <row r="11" spans="2:12" x14ac:dyDescent="0.25">
      <c r="B11" t="s">
        <v>13</v>
      </c>
      <c r="C11" t="s">
        <v>14</v>
      </c>
      <c r="D11" t="s">
        <v>12</v>
      </c>
      <c r="E11">
        <v>44</v>
      </c>
      <c r="F11" t="str">
        <f t="shared" si="0"/>
        <v>ne</v>
      </c>
    </row>
    <row r="12" spans="2:12" x14ac:dyDescent="0.25">
      <c r="B12" t="s">
        <v>16</v>
      </c>
      <c r="C12" t="s">
        <v>17</v>
      </c>
      <c r="D12" t="s">
        <v>15</v>
      </c>
      <c r="E12">
        <v>34</v>
      </c>
      <c r="F12" t="str">
        <f t="shared" si="0"/>
        <v>ne</v>
      </c>
    </row>
    <row r="13" spans="2:12" x14ac:dyDescent="0.25">
      <c r="B13" t="s">
        <v>43</v>
      </c>
      <c r="C13" t="s">
        <v>44</v>
      </c>
      <c r="D13" t="s">
        <v>12</v>
      </c>
      <c r="E13">
        <v>86</v>
      </c>
      <c r="F13" t="str">
        <f t="shared" si="0"/>
        <v>da</v>
      </c>
    </row>
    <row r="14" spans="2:12" x14ac:dyDescent="0.25">
      <c r="B14" t="s">
        <v>45</v>
      </c>
      <c r="C14" t="s">
        <v>46</v>
      </c>
      <c r="D14" t="s">
        <v>12</v>
      </c>
      <c r="E14">
        <v>90</v>
      </c>
      <c r="F14" t="str">
        <f t="shared" si="0"/>
        <v>da</v>
      </c>
    </row>
    <row r="15" spans="2:12" x14ac:dyDescent="0.25">
      <c r="B15" t="s">
        <v>18</v>
      </c>
      <c r="C15" t="s">
        <v>19</v>
      </c>
      <c r="D15" t="s">
        <v>12</v>
      </c>
      <c r="E15">
        <v>67</v>
      </c>
      <c r="F15" t="str">
        <f t="shared" si="0"/>
        <v>da</v>
      </c>
    </row>
    <row r="16" spans="2:12" x14ac:dyDescent="0.25">
      <c r="B16" t="s">
        <v>20</v>
      </c>
      <c r="C16" t="s">
        <v>21</v>
      </c>
      <c r="D16" t="s">
        <v>9</v>
      </c>
      <c r="E16">
        <v>42</v>
      </c>
      <c r="F16" t="str">
        <f t="shared" si="0"/>
        <v>ne</v>
      </c>
    </row>
    <row r="17" spans="2:6" x14ac:dyDescent="0.25">
      <c r="B17" t="s">
        <v>47</v>
      </c>
      <c r="C17" t="s">
        <v>48</v>
      </c>
      <c r="D17" t="s">
        <v>15</v>
      </c>
      <c r="E17">
        <v>44</v>
      </c>
      <c r="F17" t="str">
        <f t="shared" si="0"/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t="str">
        <f t="shared" si="0"/>
        <v>da</v>
      </c>
    </row>
    <row r="19" spans="2:6" x14ac:dyDescent="0.25">
      <c r="B19" t="s">
        <v>24</v>
      </c>
      <c r="C19" t="s">
        <v>25</v>
      </c>
      <c r="D19" t="s">
        <v>15</v>
      </c>
      <c r="E19">
        <v>30</v>
      </c>
      <c r="F19" t="str">
        <f t="shared" si="0"/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t="str">
        <f t="shared" si="0"/>
        <v>da</v>
      </c>
    </row>
    <row r="21" spans="2:6" x14ac:dyDescent="0.25">
      <c r="B21" t="s">
        <v>50</v>
      </c>
      <c r="C21" t="s">
        <v>51</v>
      </c>
      <c r="D21" t="s">
        <v>9</v>
      </c>
      <c r="E21">
        <v>43</v>
      </c>
      <c r="F21" t="str">
        <f t="shared" si="0"/>
        <v>ne</v>
      </c>
    </row>
    <row r="22" spans="2:6" x14ac:dyDescent="0.25">
      <c r="B22" t="s">
        <v>60</v>
      </c>
      <c r="C22" t="s">
        <v>61</v>
      </c>
      <c r="D22" t="s">
        <v>9</v>
      </c>
      <c r="E22">
        <v>38</v>
      </c>
      <c r="F22" t="str">
        <f t="shared" si="0"/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t="str">
        <f t="shared" si="0"/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t="str">
        <f t="shared" si="0"/>
        <v>da</v>
      </c>
    </row>
    <row r="25" spans="2:6" x14ac:dyDescent="0.25">
      <c r="B25" t="s">
        <v>56</v>
      </c>
      <c r="C25" t="s">
        <v>57</v>
      </c>
      <c r="D25" t="s">
        <v>9</v>
      </c>
      <c r="E25">
        <v>34</v>
      </c>
      <c r="F25" t="str">
        <f t="shared" si="0"/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t="str">
        <f t="shared" si="0"/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t="str">
        <f t="shared" si="0"/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t="str">
        <f t="shared" si="0"/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t="str">
        <f t="shared" si="0"/>
        <v>da</v>
      </c>
    </row>
    <row r="30" spans="2:6" x14ac:dyDescent="0.25">
      <c r="B30" t="s">
        <v>32</v>
      </c>
      <c r="C30" t="s">
        <v>33</v>
      </c>
      <c r="D30" t="s">
        <v>9</v>
      </c>
      <c r="E30">
        <v>46</v>
      </c>
      <c r="F30" t="str">
        <f t="shared" si="0"/>
        <v>ne</v>
      </c>
    </row>
  </sheetData>
  <conditionalFormatting sqref="E3:E30">
    <cfRule type="cellIs" dxfId="1" priority="1" operator="lessThan">
      <formula>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Horvat, Tajda</cp:lastModifiedBy>
  <dcterms:created xsi:type="dcterms:W3CDTF">2007-11-10T02:36:44Z</dcterms:created>
  <dcterms:modified xsi:type="dcterms:W3CDTF">2024-12-11T17:07:38Z</dcterms:modified>
</cp:coreProperties>
</file>